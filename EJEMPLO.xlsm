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PORTE 2\Documents\"/>
    </mc:Choice>
  </mc:AlternateContent>
  <bookViews>
    <workbookView xWindow="0" yWindow="0" windowWidth="28800" windowHeight="12435"/>
  </bookViews>
  <sheets>
    <sheet name="Hoja1" sheetId="11" r:id="rId1"/>
    <sheet name="vamos a ver hasta donde llega e" sheetId="15" r:id="rId2"/>
    <sheet name="Hoja4" sheetId="14" r:id="rId3"/>
    <sheet name="RESUMEN" sheetId="9" r:id="rId4"/>
    <sheet name="AT&amp;T" sheetId="7" r:id="rId5"/>
    <sheet name=" RADIOMOVIL DIPSA SA DE CV" sheetId="13" r:id="rId6"/>
    <sheet name=" SERVICIO RETO EXPRESS SA DE CV" sheetId="4" r:id="rId7"/>
  </sheets>
  <definedNames>
    <definedName name="_xlnm._FilterDatabase" localSheetId="0" hidden="1">Hoja1!$A$10:$H$57</definedName>
    <definedName name="ListarHojas">REPLACE(GET.WORKBOOK(1),1,FIND("]",GET.WORKBOOK(1),1),"")&amp;T(NOW())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1" l="1"/>
  <c r="L2" i="11"/>
  <c r="Q15" i="11" l="1"/>
  <c r="Q31" i="11"/>
  <c r="Q19" i="11"/>
  <c r="Q35" i="11"/>
  <c r="L3" i="11"/>
  <c r="L7" i="11"/>
  <c r="Q23" i="11"/>
  <c r="Q39" i="11"/>
  <c r="Q11" i="11"/>
  <c r="Q27" i="11"/>
  <c r="Q9" i="11"/>
  <c r="Q13" i="11"/>
  <c r="Q21" i="11"/>
  <c r="Q29" i="11"/>
  <c r="Q10" i="11"/>
  <c r="Q34" i="11"/>
  <c r="Q12" i="11"/>
  <c r="Q28" i="11"/>
  <c r="Q38" i="11"/>
  <c r="Q16" i="11"/>
  <c r="Q32" i="11"/>
  <c r="Q18" i="11"/>
  <c r="Q20" i="11"/>
  <c r="Q36" i="11"/>
  <c r="L8" i="11"/>
  <c r="Q14" i="11"/>
  <c r="L4" i="11"/>
  <c r="Q26" i="11"/>
  <c r="Q24" i="11"/>
  <c r="L5" i="11"/>
  <c r="Q37" i="11"/>
  <c r="Q17" i="11"/>
  <c r="Q25" i="11"/>
  <c r="Q33" i="11"/>
  <c r="L6" i="11"/>
  <c r="Q22" i="11"/>
  <c r="Q30" i="11"/>
  <c r="L9" i="11" l="1"/>
  <c r="G66" i="11"/>
  <c r="F66" i="11"/>
  <c r="H11" i="11"/>
  <c r="R14" i="11"/>
  <c r="H66" i="11" l="1"/>
  <c r="H68" i="11" s="1"/>
</calcChain>
</file>

<file path=xl/sharedStrings.xml><?xml version="1.0" encoding="utf-8"?>
<sst xmlns="http://schemas.openxmlformats.org/spreadsheetml/2006/main" count="199" uniqueCount="78">
  <si>
    <t>2-1-02-00-00</t>
  </si>
  <si>
    <t>PROVEEDORES</t>
  </si>
  <si>
    <t>Saldo inicial :</t>
  </si>
  <si>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</si>
  <si>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</si>
  <si>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</si>
  <si>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</si>
  <si>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</si>
  <si>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</si>
  <si>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</si>
  <si>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</si>
  <si>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Diario</t>
  </si>
  <si>
    <t xml:space="preserve"> SERVICIO RETO EXPRESS SA DE CV</t>
  </si>
  <si>
    <t xml:space="preserve"> TELEFONOS DE MEXICO SA DE CV</t>
  </si>
  <si>
    <t xml:space="preserve"> SERGIO ARTURO CABRERA PEÑA</t>
  </si>
  <si>
    <t xml:space="preserve"> AT&amp;T COMUNICACIONES DIGITALES S DE EL DE</t>
  </si>
  <si>
    <t>BANORTE</t>
  </si>
  <si>
    <t>Total PROVEEDORES :</t>
  </si>
  <si>
    <t xml:space="preserve"> </t>
  </si>
  <si>
    <t xml:space="preserve"> INSTITUTO DE ESTUDIOS UNIVERSITARIOS,</t>
  </si>
  <si>
    <t xml:space="preserve"> SERVICIO RETO EXPRESS S.A. DE C.V.</t>
  </si>
  <si>
    <t xml:space="preserve"> Escuela Bancaria y Comercial, SC.</t>
  </si>
  <si>
    <t xml:space="preserve"> SERVICIOS GASOLINEROS DE MEXICO SA</t>
  </si>
  <si>
    <t xml:space="preserve"> SERVICIOS GASOLINEROS DE MEXICO SA DE CV</t>
  </si>
  <si>
    <t>03/Dic/2018</t>
  </si>
  <si>
    <t xml:space="preserve"> TELEFONIA POR CABLE SA DE CV</t>
  </si>
  <si>
    <t>BAA 13378</t>
  </si>
  <si>
    <t>04/Dic/2018</t>
  </si>
  <si>
    <t>FD 6819</t>
  </si>
  <si>
    <t>05/Dic/2018</t>
  </si>
  <si>
    <t xml:space="preserve"> CFE SUMINISTRADOR  DE SERVICIOS</t>
  </si>
  <si>
    <t>PB 29049</t>
  </si>
  <si>
    <t>BAA 13739</t>
  </si>
  <si>
    <t xml:space="preserve"> UNIVERSIDAD DE GUANAJUATO</t>
  </si>
  <si>
    <t>FACT 57502</t>
  </si>
  <si>
    <t>06/Dic/2018</t>
  </si>
  <si>
    <t>B 88491</t>
  </si>
  <si>
    <t>07/Dic/2018</t>
  </si>
  <si>
    <t xml:space="preserve"> ADT PRIVATE SERVICES DE MEXICO SA</t>
  </si>
  <si>
    <t>F 14731084</t>
  </si>
  <si>
    <t>10/Dic/2018</t>
  </si>
  <si>
    <t>MRY 31343324</t>
  </si>
  <si>
    <t>11/Dic/2018</t>
  </si>
  <si>
    <t>13/Dic/2018</t>
  </si>
  <si>
    <t xml:space="preserve"> TELEFONOS DE MEXICO S.A.B. DE C.V.</t>
  </si>
  <si>
    <t>DAF6 11</t>
  </si>
  <si>
    <t>6AED 11</t>
  </si>
  <si>
    <t>B 88490</t>
  </si>
  <si>
    <t>18/Dic/2018</t>
  </si>
  <si>
    <t>FD 6925</t>
  </si>
  <si>
    <t>B 88388</t>
  </si>
  <si>
    <t>LEO 1036128</t>
  </si>
  <si>
    <t>19/Dic/2018</t>
  </si>
  <si>
    <t>FD 6935</t>
  </si>
  <si>
    <t xml:space="preserve"> GOBIERNO DEL ESTADO DE GUANAJUATO</t>
  </si>
  <si>
    <t>IMP EST NOM NOV 18</t>
  </si>
  <si>
    <t>20/Dic/2018</t>
  </si>
  <si>
    <t>21/Dic/2018</t>
  </si>
  <si>
    <t>F 14853984</t>
  </si>
  <si>
    <t xml:space="preserve"> ADT Private Security Services de México S.A. de C.V.</t>
  </si>
  <si>
    <t>26/Dic/2018</t>
  </si>
  <si>
    <t>FD 6985</t>
  </si>
  <si>
    <t xml:space="preserve"> RADIOMOVIL DIPSA SA DE CV</t>
  </si>
  <si>
    <t>TF 159163</t>
  </si>
  <si>
    <t>27/Dic/2018</t>
  </si>
  <si>
    <t>TF 159782</t>
  </si>
  <si>
    <t>TF 162023</t>
  </si>
  <si>
    <t>28/Dic/2018</t>
  </si>
  <si>
    <t>NMIX 156123340</t>
  </si>
  <si>
    <t>30/Dic/2018</t>
  </si>
  <si>
    <t xml:space="preserve"> EJIDO OPOPEO</t>
  </si>
  <si>
    <t>FG 51583</t>
  </si>
  <si>
    <t>31/Dic/2018</t>
  </si>
  <si>
    <t>I 7196</t>
  </si>
  <si>
    <t>B 88787</t>
  </si>
  <si>
    <t xml:space="preserve"> FG 051583</t>
  </si>
  <si>
    <t xml:space="preserve">T o t a l: </t>
  </si>
  <si>
    <t>Lista de hojas existentes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</si>
</sst>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i/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1" xfId="0" applyFill="1" applyBorder="1" applyAlignment="1"/>
    <xf numFmtId="4" fontId="1" fillId="2" borderId="1" xfId="0" applyNumberFormat="1" applyFont="1" applyFill="1" applyBorder="1" applyAlignment="1">
      <alignment horizontal="right" vertical="top"/>
    </xf>
    <xf numFmtId="4" fontId="0" fillId="0" borderId="0" xfId="0" applyNumberFormat="1"/>
    <xf numFmtId="49" fontId="2" fillId="3" borderId="1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5" fillId="0" borderId="0" xfId="1"/>
    <xf numFmtId="0" fontId="6" fillId="0" borderId="0" xfId="0" applyFont="1"/>
    <xf numFmtId="49" fontId="7" fillId="2" borderId="1" xfId="0" applyNumberFormat="1" applyFont="1" applyFill="1" applyBorder="1" applyAlignment="1">
      <alignment horizontal="left" vertical="top"/>
    </xf>
    <xf numFmtId="49" fontId="8" fillId="2" borderId="1" xfId="0" applyNumberFormat="1" applyFont="1" applyFill="1" applyBorder="1" applyAlignment="1">
      <alignment horizontal="center" vertical="top"/>
    </xf>
    <xf numFmtId="49" fontId="8" fillId="2" borderId="1" xfId="0" applyNumberFormat="1" applyFont="1" applyFill="1" applyBorder="1" applyAlignment="1">
      <alignment horizontal="right" vertical="top"/>
    </xf>
    <xf numFmtId="49" fontId="9" fillId="2" borderId="1" xfId="0" applyNumberFormat="1" applyFont="1" applyFill="1" applyBorder="1" applyAlignment="1">
      <alignment horizontal="left" vertical="top"/>
    </xf>
    <xf numFmtId="49" fontId="9" fillId="2" borderId="1" xfId="0" applyNumberFormat="1" applyFont="1" applyFill="1" applyBorder="1" applyAlignment="1">
      <alignment horizontal="right" vertical="top"/>
    </xf>
    <xf numFmtId="49" fontId="10" fillId="2" borderId="1" xfId="0" applyNumberFormat="1" applyFont="1" applyFill="1" applyBorder="1" applyAlignment="1">
      <alignment horizontal="left" vertical="top"/>
    </xf>
    <xf numFmtId="49" fontId="11" fillId="2" borderId="1" xfId="0" applyNumberFormat="1" applyFont="1" applyFill="1" applyBorder="1" applyAlignment="1">
      <alignment horizontal="right" vertical="top"/>
    </xf>
    <xf numFmtId="4" fontId="11" fillId="2" borderId="1" xfId="0" applyNumberFormat="1" applyFont="1" applyFill="1" applyBorder="1" applyAlignment="1">
      <alignment horizontal="right" vertical="top"/>
    </xf>
    <xf numFmtId="49" fontId="10" fillId="2" borderId="1" xfId="0" applyNumberFormat="1" applyFont="1" applyFill="1" applyBorder="1" applyAlignment="1">
      <alignment horizontal="right" vertical="top"/>
    </xf>
    <xf numFmtId="4" fontId="10" fillId="2" borderId="1" xfId="0" applyNumberFormat="1" applyFont="1" applyFill="1" applyBorder="1" applyAlignment="1">
      <alignment horizontal="right" vertical="top"/>
    </xf>
    <xf numFmtId="49" fontId="11" fillId="0" borderId="1" xfId="0" applyNumberFormat="1" applyFont="1" applyFill="1" applyBorder="1" applyAlignment="1">
      <alignment horizontal="left" vertical="top"/>
    </xf>
    <xf numFmtId="3" fontId="11" fillId="0" borderId="1" xfId="0" applyNumberFormat="1" applyFont="1" applyFill="1" applyBorder="1" applyAlignment="1">
      <alignment horizontal="right" vertical="top"/>
    </xf>
    <xf numFmtId="4" fontId="11" fillId="0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left" vertical="top"/>
    </xf>
    <xf numFmtId="0" fontId="0" fillId="0" borderId="1" xfId="0" applyBorder="1"/>
    <xf numFmtId="49" fontId="11" fillId="2" borderId="1" xfId="0" applyNumberFormat="1" applyFont="1" applyFill="1" applyBorder="1" applyAlignment="1">
      <alignment horizontal="left" vertical="top"/>
    </xf>
    <xf numFmtId="3" fontId="11" fillId="2" borderId="1" xfId="0" applyNumberFormat="1" applyFont="1" applyFill="1" applyBorder="1" applyAlignment="1">
      <alignment horizontal="right" vertical="top"/>
    </xf>
    <xf numFmtId="0" fontId="5" fillId="0" borderId="0" xfId="1" quotePrefix="1"/>
    <xf numFmtId="0" fontId="13" fillId="4" borderId="0" xfId="0" applyFont="1" applyFill="1" applyAlignment="1">
      <alignment horizontal="center" vertical="center" wrapText="1"/>
    </xf>
    <xf numFmtId="0" fontId="0" fillId="0" borderId="0" xfId="0" applyFill="1"/>
    <xf numFmtId="0" fontId="0" fillId="5" borderId="0" xfId="0" applyFill="1"/>
    <xf numFmtId="49" fontId="2" fillId="0" borderId="1" xfId="0" applyNumberFormat="1" applyFont="1" applyFill="1" applyBorder="1" applyAlignment="1">
      <alignment horizontal="left" vertical="top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9" fillId="0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center" vertical="top"/>
    </xf>
    <xf numFmtId="4" fontId="12" fillId="0" borderId="1" xfId="0" applyNumberFormat="1" applyFont="1" applyFill="1" applyBorder="1" applyAlignment="1">
      <alignment horizontal="right" vertical="top"/>
    </xf>
    <xf numFmtId="3" fontId="11" fillId="0" borderId="1" xfId="0" applyNumberFormat="1" applyFont="1" applyFill="1" applyBorder="1" applyAlignment="1">
      <alignment horizontal="left" vertical="top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10</xdr:row>
          <xdr:rowOff>180975</xdr:rowOff>
        </xdr:from>
        <xdr:to>
          <xdr:col>14</xdr:col>
          <xdr:colOff>523875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72"/>
  <sheetViews>
    <sheetView tabSelected="1" workbookViewId="0">
      <selection activeCell="J8" sqref="J8"/>
    </sheetView>
  </sheetViews>
  <sheetFormatPr baseColWidth="10" defaultRowHeight="15" x14ac:dyDescent="0.25"/>
  <cols>
    <col min="4" max="4" width="42.5703125" bestFit="1" customWidth="1"/>
    <col min="9" max="9" width="12.140625" bestFit="1" customWidth="1"/>
    <col min="12" max="12" width="30.7109375" bestFit="1" customWidth="1"/>
    <col min="15" max="15" width="11.42578125" customWidth="1"/>
    <col min="16" max="16" width="1.28515625" customWidth="1"/>
    <col min="17" max="17" width="32.140625" bestFit="1" customWidth="1"/>
  </cols>
  <sheetData>
    <row r="1" spans="1:18" x14ac:dyDescent="0.25">
      <c r="A1" s="8"/>
      <c r="D1" s="9"/>
      <c r="H1" s="10"/>
      <c r="L1" s="26" t="s">
        <v>77</v>
      </c>
      <c r="P1" s="28"/>
    </row>
    <row r="2" spans="1:18" x14ac:dyDescent="0.25">
      <c r="A2" s="9"/>
      <c r="H2" s="10"/>
      <c r="L2" s="27" t="str">
        <f ca="1">IFERROR(INDEX(ListarHojas,ROW()),"")</f>
        <v>vamos a ver hasta donde llega e</v>
      </c>
      <c r="P2" s="28"/>
    </row>
    <row r="3" spans="1:18" x14ac:dyDescent="0.25">
      <c r="A3" s="9"/>
      <c r="L3" s="27" t="str">
        <f ca="1">IFERROR(INDEX(ListarHojas,ROW()),"")</f>
        <v>Hoja4</v>
      </c>
      <c r="P3" s="28"/>
    </row>
    <row r="4" spans="1:18" x14ac:dyDescent="0.25">
      <c r="A4" s="9"/>
      <c r="L4" s="27" t="str">
        <f ca="1">IFERROR(INDEX(ListarHojas,ROW()),"")</f>
        <v>RESUMEN</v>
      </c>
      <c r="P4" s="28"/>
    </row>
    <row r="5" spans="1:18" x14ac:dyDescent="0.25">
      <c r="A5" s="1"/>
      <c r="B5" s="1"/>
      <c r="C5" s="1"/>
      <c r="D5" s="1"/>
      <c r="E5" s="1"/>
      <c r="F5" s="1"/>
      <c r="G5" s="1"/>
      <c r="H5" s="1"/>
      <c r="L5" s="27" t="str">
        <f ca="1">IFERROR(INDEX(ListarHojas,ROW()),"")</f>
        <v>AT&amp;T</v>
      </c>
      <c r="P5" s="28"/>
    </row>
    <row r="6" spans="1:18" x14ac:dyDescent="0.25">
      <c r="A6" s="11"/>
      <c r="B6" s="11"/>
      <c r="C6" s="11"/>
      <c r="D6" s="11"/>
      <c r="E6" s="11"/>
      <c r="F6" s="11"/>
      <c r="G6" s="11"/>
      <c r="H6" s="12"/>
      <c r="L6" s="27" t="str">
        <f ca="1">IFERROR(INDEX(ListarHojas,ROW()),"")</f>
        <v xml:space="preserve"> RADIOMOVIL DIPSA SA DE CV</v>
      </c>
      <c r="P6" s="28"/>
    </row>
    <row r="7" spans="1:18" x14ac:dyDescent="0.25">
      <c r="L7" s="27" t="str">
        <f ca="1">IFERROR(INDEX(ListarHojas,ROW()),"")</f>
        <v xml:space="preserve"> SERVICIO RETO EXPRESS SA DE CV</v>
      </c>
      <c r="P7" s="28"/>
    </row>
    <row r="8" spans="1:18" x14ac:dyDescent="0.25">
      <c r="A8" s="1"/>
      <c r="B8" s="1"/>
      <c r="C8" s="1"/>
      <c r="D8" s="1"/>
      <c r="E8" s="1"/>
      <c r="F8" s="1"/>
      <c r="G8" s="1"/>
      <c r="H8" s="1"/>
      <c r="L8" s="27" t="str">
        <f ca="1">IFERROR(INDEX(ListarHojas,ROW()),"")</f>
        <v/>
      </c>
      <c r="P8" s="28"/>
    </row>
    <row r="9" spans="1:18" x14ac:dyDescent="0.25">
      <c r="A9" s="13" t="s">
        <v>0</v>
      </c>
      <c r="B9" s="13" t="s">
        <v>1</v>
      </c>
      <c r="C9" s="11"/>
      <c r="D9" s="11"/>
      <c r="E9" s="11"/>
      <c r="F9" s="11"/>
      <c r="G9" s="14" t="s">
        <v>2</v>
      </c>
      <c r="H9" s="15">
        <v>0</v>
      </c>
      <c r="L9" t="str">
        <f t="shared" ref="L3:L9" ca="1" si="0">Q9</f>
        <v/>
      </c>
      <c r="P9" s="28"/>
      <c r="Q9" s="27" t="str">
        <f ca="1">IFERROR(INDEX(ListarHojas,ROW()),"")</f>
        <v/>
      </c>
    </row>
    <row r="10" spans="1:18" x14ac:dyDescent="0.25">
      <c r="A10" s="21" t="s">
        <v>3</v>
      </c>
      <c r="B10" s="21" t="s">
        <v>4</v>
      </c>
      <c r="C10" s="33" t="s">
        <v>5</v>
      </c>
      <c r="D10" s="34" t="s">
        <v>6</v>
      </c>
      <c r="E10" s="21" t="s">
        <v>7</v>
      </c>
      <c r="F10" s="33" t="s">
        <v>8</v>
      </c>
      <c r="G10" s="33" t="s">
        <v>9</v>
      </c>
      <c r="H10" s="33" t="s">
        <v>10</v>
      </c>
      <c r="P10" s="28"/>
      <c r="Q10" s="27" t="str">
        <f ca="1">IFERROR(INDEX(ListarHojas,ROW()),"")</f>
        <v/>
      </c>
    </row>
    <row r="11" spans="1:18" x14ac:dyDescent="0.25">
      <c r="A11" s="18" t="s">
        <v>57</v>
      </c>
      <c r="B11" s="18" t="s">
        <v>16</v>
      </c>
      <c r="C11" s="19">
        <v>28</v>
      </c>
      <c r="D11" s="18" t="s">
        <v>59</v>
      </c>
      <c r="E11" s="18" t="s">
        <v>39</v>
      </c>
      <c r="F11" s="20">
        <v>1080.28</v>
      </c>
      <c r="G11" s="21"/>
      <c r="H11" s="20">
        <f>+G11</f>
        <v>0</v>
      </c>
      <c r="J11" t="str">
        <f>IF(ISERROR(MATCH(D11,listadehojasexistentes,0)),"","duplicado")</f>
        <v/>
      </c>
      <c r="P11" s="28"/>
      <c r="Q11" s="27" t="str">
        <f ca="1">IFERROR(INDEX(ListarHojas,ROW()),"")</f>
        <v/>
      </c>
    </row>
    <row r="12" spans="1:18" x14ac:dyDescent="0.25">
      <c r="A12" s="18" t="s">
        <v>72</v>
      </c>
      <c r="B12" s="18" t="s">
        <v>16</v>
      </c>
      <c r="C12" s="19">
        <v>35</v>
      </c>
      <c r="D12" s="18" t="s">
        <v>59</v>
      </c>
      <c r="E12" s="18" t="s">
        <v>58</v>
      </c>
      <c r="F12" s="20">
        <v>1080.28</v>
      </c>
      <c r="G12" s="21"/>
      <c r="H12" s="20">
        <v>63220.74</v>
      </c>
      <c r="P12" s="28"/>
      <c r="Q12" s="27" t="str">
        <f ca="1">IFERROR(INDEX(ListarHojas,ROW()),"")</f>
        <v/>
      </c>
    </row>
    <row r="13" spans="1:18" x14ac:dyDescent="0.25">
      <c r="A13" s="18" t="s">
        <v>37</v>
      </c>
      <c r="B13" s="18" t="s">
        <v>11</v>
      </c>
      <c r="C13" s="19">
        <v>9</v>
      </c>
      <c r="D13" s="18" t="s">
        <v>38</v>
      </c>
      <c r="E13" s="18" t="s">
        <v>39</v>
      </c>
      <c r="F13" s="21"/>
      <c r="G13" s="20">
        <v>1080.28</v>
      </c>
      <c r="H13" s="20">
        <v>5294.85</v>
      </c>
      <c r="P13" s="28"/>
      <c r="Q13" s="27" t="str">
        <f ca="1">IFERROR(INDEX(ListarHojas,ROW()),"")</f>
        <v/>
      </c>
    </row>
    <row r="14" spans="1:18" x14ac:dyDescent="0.25">
      <c r="A14" s="18" t="s">
        <v>57</v>
      </c>
      <c r="B14" s="18" t="s">
        <v>11</v>
      </c>
      <c r="C14" s="19">
        <v>34</v>
      </c>
      <c r="D14" s="18" t="s">
        <v>38</v>
      </c>
      <c r="E14" s="18" t="s">
        <v>58</v>
      </c>
      <c r="F14" s="21"/>
      <c r="G14" s="20">
        <v>1080.28</v>
      </c>
      <c r="H14" s="20">
        <v>6473.46</v>
      </c>
      <c r="P14" s="28"/>
      <c r="Q14" s="27" t="str">
        <f ca="1">IFERROR(INDEX(ListarHojas,ROW()),"")</f>
        <v/>
      </c>
      <c r="R14" s="27" t="str">
        <f ca="1">IFERROR(INDEX(ListarHojas,ROW()),"")</f>
        <v/>
      </c>
    </row>
    <row r="15" spans="1:18" x14ac:dyDescent="0.25">
      <c r="A15" s="18" t="s">
        <v>67</v>
      </c>
      <c r="B15" s="18" t="s">
        <v>11</v>
      </c>
      <c r="C15" s="19">
        <v>45</v>
      </c>
      <c r="D15" s="18" t="s">
        <v>15</v>
      </c>
      <c r="E15" s="18" t="s">
        <v>68</v>
      </c>
      <c r="F15" s="21"/>
      <c r="G15" s="20">
        <v>1883.68</v>
      </c>
      <c r="H15" s="20">
        <v>62847.54</v>
      </c>
      <c r="P15" s="28"/>
      <c r="Q15" s="27" t="str">
        <f ca="1">IFERROR(INDEX(ListarHojas,ROW()),"")</f>
        <v/>
      </c>
    </row>
    <row r="16" spans="1:18" x14ac:dyDescent="0.25">
      <c r="A16" s="18" t="s">
        <v>29</v>
      </c>
      <c r="B16" s="18" t="s">
        <v>11</v>
      </c>
      <c r="C16" s="19">
        <v>6</v>
      </c>
      <c r="D16" s="18" t="s">
        <v>30</v>
      </c>
      <c r="E16" s="18" t="s">
        <v>31</v>
      </c>
      <c r="F16" s="21"/>
      <c r="G16" s="20">
        <v>130.12</v>
      </c>
      <c r="H16" s="20">
        <v>7114.54</v>
      </c>
      <c r="P16" s="28"/>
      <c r="Q16" s="27" t="str">
        <f ca="1">IFERROR(INDEX(ListarHojas,ROW()),"")</f>
        <v/>
      </c>
    </row>
    <row r="17" spans="1:17" x14ac:dyDescent="0.25">
      <c r="A17" s="18" t="s">
        <v>48</v>
      </c>
      <c r="B17" s="18" t="s">
        <v>16</v>
      </c>
      <c r="C17" s="19">
        <v>24</v>
      </c>
      <c r="D17" s="18" t="s">
        <v>30</v>
      </c>
      <c r="E17" s="18" t="s">
        <v>31</v>
      </c>
      <c r="F17" s="20">
        <v>131</v>
      </c>
      <c r="G17" s="21"/>
      <c r="H17" s="35">
        <v>-3448.9</v>
      </c>
      <c r="P17" s="28"/>
      <c r="Q17" s="27" t="str">
        <f ca="1">IFERROR(INDEX(ListarHojas,ROW()),"")</f>
        <v/>
      </c>
    </row>
    <row r="18" spans="1:17" x14ac:dyDescent="0.25">
      <c r="A18" s="18" t="s">
        <v>69</v>
      </c>
      <c r="B18" s="18" t="s">
        <v>11</v>
      </c>
      <c r="C18" s="19">
        <v>47</v>
      </c>
      <c r="D18" s="18" t="s">
        <v>70</v>
      </c>
      <c r="E18" s="18" t="s">
        <v>71</v>
      </c>
      <c r="F18" s="21"/>
      <c r="G18" s="20">
        <v>657.5</v>
      </c>
      <c r="H18" s="20">
        <v>63505.04</v>
      </c>
      <c r="P18" s="28"/>
      <c r="Q18" s="27" t="str">
        <f ca="1">IFERROR(INDEX(ListarHojas,ROW()),"")</f>
        <v/>
      </c>
    </row>
    <row r="19" spans="1:17" x14ac:dyDescent="0.25">
      <c r="A19" s="18" t="s">
        <v>72</v>
      </c>
      <c r="B19" s="18" t="s">
        <v>16</v>
      </c>
      <c r="C19" s="19">
        <v>39</v>
      </c>
      <c r="D19" s="18" t="s">
        <v>70</v>
      </c>
      <c r="E19" s="18" t="s">
        <v>75</v>
      </c>
      <c r="F19" s="20">
        <v>657.5</v>
      </c>
      <c r="G19" s="21"/>
      <c r="H19" s="20">
        <v>54359.82</v>
      </c>
      <c r="P19" s="28"/>
      <c r="Q19" s="27" t="str">
        <f ca="1">IFERROR(INDEX(ListarHojas,ROW()),"")</f>
        <v/>
      </c>
    </row>
    <row r="20" spans="1:17" x14ac:dyDescent="0.25">
      <c r="A20" s="18" t="s">
        <v>48</v>
      </c>
      <c r="B20" s="18" t="s">
        <v>16</v>
      </c>
      <c r="C20" s="19">
        <v>22</v>
      </c>
      <c r="D20" s="18" t="s">
        <v>21</v>
      </c>
      <c r="E20" s="18" t="s">
        <v>51</v>
      </c>
      <c r="F20" s="20">
        <v>7544</v>
      </c>
      <c r="G20" s="21"/>
      <c r="H20" s="20">
        <v>4682.1000000000004</v>
      </c>
      <c r="P20" s="28"/>
      <c r="Q20" s="27" t="str">
        <f ca="1">IFERROR(INDEX(ListarHojas,ROW()),"")</f>
        <v/>
      </c>
    </row>
    <row r="21" spans="1:17" x14ac:dyDescent="0.25">
      <c r="A21" s="18" t="s">
        <v>52</v>
      </c>
      <c r="B21" s="18" t="s">
        <v>11</v>
      </c>
      <c r="C21" s="19">
        <v>28</v>
      </c>
      <c r="D21" s="18" t="s">
        <v>21</v>
      </c>
      <c r="E21" s="18" t="s">
        <v>51</v>
      </c>
      <c r="F21" s="21"/>
      <c r="G21" s="20">
        <v>7544</v>
      </c>
      <c r="H21" s="20">
        <v>6360.58</v>
      </c>
      <c r="P21" s="28"/>
      <c r="Q21" s="27" t="str">
        <f ca="1">IFERROR(INDEX(ListarHojas,ROW()),"")</f>
        <v/>
      </c>
    </row>
    <row r="22" spans="1:17" x14ac:dyDescent="0.25">
      <c r="A22" s="18" t="s">
        <v>52</v>
      </c>
      <c r="B22" s="18" t="s">
        <v>16</v>
      </c>
      <c r="C22" s="19">
        <v>25</v>
      </c>
      <c r="D22" s="18" t="s">
        <v>54</v>
      </c>
      <c r="E22" s="18" t="s">
        <v>55</v>
      </c>
      <c r="F22" s="20"/>
      <c r="G22" s="21"/>
      <c r="H22" s="20">
        <v>4614.6000000000004</v>
      </c>
      <c r="J22" s="27"/>
      <c r="P22" s="28"/>
      <c r="Q22" s="27" t="str">
        <f ca="1">IFERROR(INDEX(ListarHojas,ROW()),"")</f>
        <v/>
      </c>
    </row>
    <row r="23" spans="1:17" x14ac:dyDescent="0.25">
      <c r="A23" s="18" t="s">
        <v>37</v>
      </c>
      <c r="B23" s="18" t="s">
        <v>11</v>
      </c>
      <c r="C23" s="19">
        <v>8</v>
      </c>
      <c r="D23" s="18" t="s">
        <v>19</v>
      </c>
      <c r="E23" s="36">
        <v>91763</v>
      </c>
      <c r="F23" s="21"/>
      <c r="G23" s="20">
        <v>2542.52</v>
      </c>
      <c r="H23" s="20">
        <v>4214.57</v>
      </c>
      <c r="P23" s="28"/>
      <c r="Q23" s="27" t="str">
        <f ca="1">IFERROR(INDEX(ListarHojas,ROW()),"")</f>
        <v/>
      </c>
    </row>
    <row r="24" spans="1:17" x14ac:dyDescent="0.25">
      <c r="A24" s="18" t="s">
        <v>40</v>
      </c>
      <c r="B24" s="18" t="s">
        <v>16</v>
      </c>
      <c r="C24" s="19">
        <v>6</v>
      </c>
      <c r="D24" s="18" t="s">
        <v>19</v>
      </c>
      <c r="E24" s="36">
        <v>91763</v>
      </c>
      <c r="F24" s="20">
        <v>2542.52</v>
      </c>
      <c r="G24" s="21"/>
      <c r="H24" s="20">
        <v>1783.48</v>
      </c>
      <c r="P24" s="28"/>
      <c r="Q24" s="27" t="str">
        <f ca="1">IFERROR(INDEX(ListarHojas,ROW()),"")</f>
        <v/>
      </c>
    </row>
    <row r="25" spans="1:17" x14ac:dyDescent="0.25">
      <c r="A25" s="18" t="s">
        <v>60</v>
      </c>
      <c r="B25" s="18" t="s">
        <v>11</v>
      </c>
      <c r="C25" s="19">
        <v>41</v>
      </c>
      <c r="D25" s="29" t="s">
        <v>62</v>
      </c>
      <c r="E25" s="18" t="s">
        <v>63</v>
      </c>
      <c r="F25" s="21"/>
      <c r="G25" s="20">
        <v>20049</v>
      </c>
      <c r="H25" s="20">
        <v>27585.86</v>
      </c>
      <c r="P25" s="28"/>
      <c r="Q25" s="27" t="str">
        <f ca="1">IFERROR(INDEX(ListarHojas,ROW()),"")</f>
        <v/>
      </c>
    </row>
    <row r="26" spans="1:17" x14ac:dyDescent="0.25">
      <c r="A26" s="18" t="s">
        <v>64</v>
      </c>
      <c r="B26" s="18" t="s">
        <v>11</v>
      </c>
      <c r="C26" s="19">
        <v>43</v>
      </c>
      <c r="D26" s="18" t="s">
        <v>62</v>
      </c>
      <c r="E26" s="18" t="s">
        <v>65</v>
      </c>
      <c r="F26" s="21"/>
      <c r="G26" s="20">
        <v>20049</v>
      </c>
      <c r="H26" s="20">
        <v>47634.86</v>
      </c>
      <c r="P26" s="28"/>
      <c r="Q26" s="27" t="str">
        <f ca="1">IFERROR(INDEX(ListarHojas,ROW()),"")</f>
        <v/>
      </c>
    </row>
    <row r="27" spans="1:17" x14ac:dyDescent="0.25">
      <c r="A27" s="18" t="s">
        <v>64</v>
      </c>
      <c r="B27" s="18" t="s">
        <v>11</v>
      </c>
      <c r="C27" s="19">
        <v>44</v>
      </c>
      <c r="D27" s="18" t="s">
        <v>62</v>
      </c>
      <c r="E27" s="18" t="s">
        <v>66</v>
      </c>
      <c r="F27" s="21"/>
      <c r="G27" s="20">
        <v>13329</v>
      </c>
      <c r="H27" s="20">
        <v>60963.86</v>
      </c>
      <c r="P27" s="28"/>
      <c r="Q27" s="27" t="str">
        <f ca="1">IFERROR(INDEX(ListarHojas,ROW()),"")</f>
        <v/>
      </c>
    </row>
    <row r="28" spans="1:17" x14ac:dyDescent="0.25">
      <c r="A28" s="18" t="s">
        <v>27</v>
      </c>
      <c r="B28" s="18" t="s">
        <v>11</v>
      </c>
      <c r="C28" s="19">
        <v>5</v>
      </c>
      <c r="D28" s="18" t="s">
        <v>14</v>
      </c>
      <c r="E28" s="18" t="s">
        <v>28</v>
      </c>
      <c r="F28" s="21"/>
      <c r="G28" s="20">
        <v>6455.4</v>
      </c>
      <c r="H28" s="20">
        <v>6984.42</v>
      </c>
      <c r="P28" s="28"/>
      <c r="Q28" s="27" t="str">
        <f ca="1">IFERROR(INDEX(ListarHojas,ROW()),"")</f>
        <v/>
      </c>
    </row>
    <row r="29" spans="1:17" x14ac:dyDescent="0.25">
      <c r="A29" s="18" t="s">
        <v>48</v>
      </c>
      <c r="B29" s="18" t="s">
        <v>11</v>
      </c>
      <c r="C29" s="19">
        <v>22</v>
      </c>
      <c r="D29" s="18" t="s">
        <v>14</v>
      </c>
      <c r="E29" s="18" t="s">
        <v>49</v>
      </c>
      <c r="F29" s="21"/>
      <c r="G29" s="20">
        <v>2996.28</v>
      </c>
      <c r="H29" s="20">
        <v>4226.1000000000004</v>
      </c>
      <c r="P29" s="28"/>
      <c r="Q29" s="27" t="str">
        <f ca="1">IFERROR(INDEX(ListarHojas,ROW()),"")</f>
        <v/>
      </c>
    </row>
    <row r="30" spans="1:17" x14ac:dyDescent="0.25">
      <c r="A30" s="18" t="s">
        <v>52</v>
      </c>
      <c r="B30" s="18" t="s">
        <v>11</v>
      </c>
      <c r="C30" s="19">
        <v>26</v>
      </c>
      <c r="D30" s="18" t="s">
        <v>14</v>
      </c>
      <c r="E30" s="18" t="s">
        <v>53</v>
      </c>
      <c r="F30" s="21"/>
      <c r="G30" s="20">
        <v>2265.48</v>
      </c>
      <c r="H30" s="35">
        <v>-1183.42</v>
      </c>
      <c r="P30" s="28"/>
      <c r="Q30" s="27" t="str">
        <f ca="1">IFERROR(INDEX(ListarHojas,ROW()),"")</f>
        <v/>
      </c>
    </row>
    <row r="31" spans="1:17" x14ac:dyDescent="0.25">
      <c r="A31" s="18" t="s">
        <v>56</v>
      </c>
      <c r="B31" s="18" t="s">
        <v>16</v>
      </c>
      <c r="C31" s="19">
        <v>26</v>
      </c>
      <c r="D31" s="18" t="s">
        <v>14</v>
      </c>
      <c r="E31" s="18" t="s">
        <v>28</v>
      </c>
      <c r="F31" s="20">
        <v>6455.4</v>
      </c>
      <c r="G31" s="21"/>
      <c r="H31" s="20">
        <v>5393.18</v>
      </c>
      <c r="P31" s="28"/>
      <c r="Q31" s="27" t="str">
        <f ca="1">IFERROR(INDEX(ListarHojas,ROW()),"")</f>
        <v/>
      </c>
    </row>
    <row r="32" spans="1:17" x14ac:dyDescent="0.25">
      <c r="A32" s="18" t="s">
        <v>60</v>
      </c>
      <c r="B32" s="18" t="s">
        <v>11</v>
      </c>
      <c r="C32" s="19">
        <v>36</v>
      </c>
      <c r="D32" s="18" t="s">
        <v>14</v>
      </c>
      <c r="E32" s="18" t="s">
        <v>61</v>
      </c>
      <c r="F32" s="21"/>
      <c r="G32" s="20">
        <v>2143.6799999999998</v>
      </c>
      <c r="H32" s="20">
        <v>7536.86</v>
      </c>
      <c r="P32" s="28"/>
      <c r="Q32" s="27" t="str">
        <f ca="1">IFERROR(INDEX(ListarHojas,ROW()),"")</f>
        <v/>
      </c>
    </row>
    <row r="33" spans="1:17" x14ac:dyDescent="0.25">
      <c r="A33" s="18" t="s">
        <v>72</v>
      </c>
      <c r="B33" s="18" t="s">
        <v>16</v>
      </c>
      <c r="C33" s="19">
        <v>38</v>
      </c>
      <c r="D33" s="18" t="s">
        <v>14</v>
      </c>
      <c r="E33" s="18" t="s">
        <v>53</v>
      </c>
      <c r="F33" s="20">
        <v>2265.48</v>
      </c>
      <c r="G33" s="21"/>
      <c r="H33" s="20">
        <v>60157.279999999999</v>
      </c>
      <c r="P33" s="28"/>
      <c r="Q33" s="27" t="str">
        <f ca="1">IFERROR(INDEX(ListarHojas,ROW()),"")</f>
        <v/>
      </c>
    </row>
    <row r="34" spans="1:17" x14ac:dyDescent="0.25">
      <c r="A34" s="18" t="s">
        <v>72</v>
      </c>
      <c r="B34" s="18" t="s">
        <v>16</v>
      </c>
      <c r="C34" s="19">
        <v>38</v>
      </c>
      <c r="D34" s="18" t="s">
        <v>14</v>
      </c>
      <c r="E34" s="18" t="s">
        <v>49</v>
      </c>
      <c r="F34" s="20">
        <v>2996.28</v>
      </c>
      <c r="G34" s="21"/>
      <c r="H34" s="20">
        <v>57161</v>
      </c>
      <c r="P34" s="28"/>
      <c r="Q34" s="27" t="str">
        <f ca="1">IFERROR(INDEX(ListarHojas,ROW()),"")</f>
        <v/>
      </c>
    </row>
    <row r="35" spans="1:17" x14ac:dyDescent="0.25">
      <c r="A35" s="18" t="s">
        <v>72</v>
      </c>
      <c r="B35" s="18" t="s">
        <v>16</v>
      </c>
      <c r="C35" s="19">
        <v>38</v>
      </c>
      <c r="D35" s="18" t="s">
        <v>14</v>
      </c>
      <c r="E35" s="18" t="s">
        <v>61</v>
      </c>
      <c r="F35" s="20">
        <v>2143.6799999999998</v>
      </c>
      <c r="G35" s="21"/>
      <c r="H35" s="20">
        <v>55017.32</v>
      </c>
      <c r="P35" s="28"/>
      <c r="Q35" s="27" t="str">
        <f ca="1">IFERROR(INDEX(ListarHojas,ROW()),"")</f>
        <v/>
      </c>
    </row>
    <row r="36" spans="1:17" x14ac:dyDescent="0.25">
      <c r="A36" s="18" t="s">
        <v>35</v>
      </c>
      <c r="B36" s="18" t="s">
        <v>16</v>
      </c>
      <c r="C36" s="19">
        <v>3</v>
      </c>
      <c r="D36" s="18" t="s">
        <v>20</v>
      </c>
      <c r="E36" s="18" t="s">
        <v>36</v>
      </c>
      <c r="F36" s="20">
        <v>913.49</v>
      </c>
      <c r="G36" s="21"/>
      <c r="H36" s="20">
        <v>1672.05</v>
      </c>
      <c r="P36" s="28"/>
      <c r="Q36" s="27" t="str">
        <f ca="1">IFERROR(INDEX(ListarHojas,ROW()),"")</f>
        <v/>
      </c>
    </row>
    <row r="37" spans="1:17" x14ac:dyDescent="0.25">
      <c r="A37" s="18" t="s">
        <v>43</v>
      </c>
      <c r="B37" s="18" t="s">
        <v>16</v>
      </c>
      <c r="C37" s="19">
        <v>8</v>
      </c>
      <c r="D37" s="18" t="s">
        <v>20</v>
      </c>
      <c r="E37" s="18" t="s">
        <v>36</v>
      </c>
      <c r="F37" s="20">
        <v>820.49</v>
      </c>
      <c r="G37" s="21"/>
      <c r="H37" s="20">
        <v>2729.82</v>
      </c>
      <c r="P37" s="28"/>
      <c r="Q37" s="27" t="str">
        <f ca="1">IFERROR(INDEX(ListarHojas,ROW()),"")</f>
        <v/>
      </c>
    </row>
    <row r="38" spans="1:17" x14ac:dyDescent="0.25">
      <c r="A38" s="18" t="s">
        <v>43</v>
      </c>
      <c r="B38" s="18" t="s">
        <v>16</v>
      </c>
      <c r="C38" s="19">
        <v>10</v>
      </c>
      <c r="D38" s="18" t="s">
        <v>20</v>
      </c>
      <c r="E38" s="18" t="s">
        <v>47</v>
      </c>
      <c r="F38" s="20">
        <v>1500</v>
      </c>
      <c r="G38" s="21"/>
      <c r="H38" s="20">
        <v>1229.82</v>
      </c>
      <c r="P38" s="28"/>
      <c r="Q38" s="27" t="str">
        <f ca="1">IFERROR(INDEX(ListarHojas,ROW()),"")</f>
        <v/>
      </c>
    </row>
    <row r="39" spans="1:17" x14ac:dyDescent="0.25">
      <c r="A39" s="18" t="s">
        <v>48</v>
      </c>
      <c r="B39" s="18" t="s">
        <v>16</v>
      </c>
      <c r="C39" s="19">
        <v>23</v>
      </c>
      <c r="D39" s="18" t="s">
        <v>20</v>
      </c>
      <c r="E39" s="18" t="s">
        <v>50</v>
      </c>
      <c r="F39" s="20">
        <v>8000</v>
      </c>
      <c r="G39" s="21"/>
      <c r="H39" s="35">
        <v>-3317.9</v>
      </c>
      <c r="P39" s="28"/>
      <c r="Q39" s="27" t="str">
        <f ca="1">IFERROR(INDEX(ListarHojas,ROW()),"")</f>
        <v/>
      </c>
    </row>
    <row r="40" spans="1:17" x14ac:dyDescent="0.25">
      <c r="A40" s="18" t="s">
        <v>72</v>
      </c>
      <c r="B40" s="18" t="s">
        <v>16</v>
      </c>
      <c r="C40" s="19">
        <v>34</v>
      </c>
      <c r="D40" s="18" t="s">
        <v>20</v>
      </c>
      <c r="E40" s="18" t="s">
        <v>73</v>
      </c>
      <c r="F40" s="20">
        <v>455.63</v>
      </c>
      <c r="G40" s="21"/>
      <c r="H40" s="20">
        <v>64301.02</v>
      </c>
      <c r="L40" s="27"/>
      <c r="P40" s="28"/>
    </row>
    <row r="41" spans="1:17" x14ac:dyDescent="0.25">
      <c r="A41" s="18" t="s">
        <v>48</v>
      </c>
      <c r="B41" s="18" t="s">
        <v>11</v>
      </c>
      <c r="C41" s="19">
        <v>24</v>
      </c>
      <c r="D41" s="29" t="s">
        <v>12</v>
      </c>
      <c r="E41" s="18" t="s">
        <v>50</v>
      </c>
      <c r="F41" s="21"/>
      <c r="G41" s="20">
        <v>8000</v>
      </c>
      <c r="H41" s="20">
        <v>12226.1</v>
      </c>
      <c r="L41" s="27"/>
      <c r="P41" s="28"/>
    </row>
    <row r="42" spans="1:17" x14ac:dyDescent="0.25">
      <c r="A42" s="18" t="s">
        <v>56</v>
      </c>
      <c r="B42" s="18" t="s">
        <v>11</v>
      </c>
      <c r="C42" s="19">
        <v>31</v>
      </c>
      <c r="D42" s="18" t="s">
        <v>12</v>
      </c>
      <c r="E42" s="18" t="s">
        <v>47</v>
      </c>
      <c r="F42" s="21"/>
      <c r="G42" s="20">
        <v>1500</v>
      </c>
      <c r="H42" s="20">
        <v>6114.6</v>
      </c>
      <c r="L42" s="27"/>
      <c r="P42" s="28"/>
    </row>
    <row r="43" spans="1:17" x14ac:dyDescent="0.25">
      <c r="A43" s="18" t="s">
        <v>56</v>
      </c>
      <c r="B43" s="18" t="s">
        <v>11</v>
      </c>
      <c r="C43" s="19">
        <v>32</v>
      </c>
      <c r="D43" s="18" t="s">
        <v>12</v>
      </c>
      <c r="E43" s="18" t="s">
        <v>36</v>
      </c>
      <c r="F43" s="21"/>
      <c r="G43" s="20">
        <v>1733.98</v>
      </c>
      <c r="H43" s="20">
        <v>7848.58</v>
      </c>
      <c r="L43" s="27"/>
      <c r="P43" s="28"/>
    </row>
    <row r="44" spans="1:17" x14ac:dyDescent="0.25">
      <c r="A44" s="18" t="s">
        <v>72</v>
      </c>
      <c r="B44" s="18" t="s">
        <v>11</v>
      </c>
      <c r="C44" s="19">
        <v>48</v>
      </c>
      <c r="D44" s="18" t="s">
        <v>12</v>
      </c>
      <c r="E44" s="18" t="s">
        <v>73</v>
      </c>
      <c r="F44" s="21"/>
      <c r="G44" s="20">
        <v>455.63</v>
      </c>
      <c r="H44" s="20">
        <v>63960.67</v>
      </c>
      <c r="L44" s="27"/>
      <c r="P44" s="28"/>
    </row>
    <row r="45" spans="1:17" x14ac:dyDescent="0.25">
      <c r="A45" s="18" t="s">
        <v>72</v>
      </c>
      <c r="B45" s="18" t="s">
        <v>11</v>
      </c>
      <c r="C45" s="19">
        <v>49</v>
      </c>
      <c r="D45" s="18" t="s">
        <v>12</v>
      </c>
      <c r="E45" s="18" t="s">
        <v>74</v>
      </c>
      <c r="F45" s="21"/>
      <c r="G45" s="20">
        <v>795.98</v>
      </c>
      <c r="H45" s="20">
        <v>64756.65</v>
      </c>
      <c r="L45" s="27"/>
      <c r="P45" s="28"/>
    </row>
    <row r="46" spans="1:17" x14ac:dyDescent="0.25">
      <c r="A46" s="18" t="s">
        <v>42</v>
      </c>
      <c r="B46" s="18" t="s">
        <v>11</v>
      </c>
      <c r="C46" s="19">
        <v>12</v>
      </c>
      <c r="D46" s="18" t="s">
        <v>22</v>
      </c>
      <c r="E46" s="18" t="s">
        <v>41</v>
      </c>
      <c r="F46" s="21"/>
      <c r="G46" s="20">
        <v>968.85</v>
      </c>
      <c r="H46" s="20">
        <v>2752.33</v>
      </c>
      <c r="L46" s="27"/>
      <c r="P46" s="28"/>
    </row>
    <row r="47" spans="1:17" x14ac:dyDescent="0.25">
      <c r="A47" s="18" t="s">
        <v>40</v>
      </c>
      <c r="B47" s="18" t="s">
        <v>16</v>
      </c>
      <c r="C47" s="19">
        <v>5</v>
      </c>
      <c r="D47" s="18" t="s">
        <v>23</v>
      </c>
      <c r="E47" s="18" t="s">
        <v>41</v>
      </c>
      <c r="F47" s="20">
        <v>968.85</v>
      </c>
      <c r="G47" s="21"/>
      <c r="H47" s="20">
        <v>4326</v>
      </c>
      <c r="L47" s="27"/>
      <c r="P47" s="28"/>
    </row>
    <row r="48" spans="1:17" x14ac:dyDescent="0.25">
      <c r="A48" s="18" t="s">
        <v>24</v>
      </c>
      <c r="B48" s="18" t="s">
        <v>11</v>
      </c>
      <c r="C48" s="19">
        <v>4</v>
      </c>
      <c r="D48" s="18" t="s">
        <v>25</v>
      </c>
      <c r="E48" s="18" t="s">
        <v>26</v>
      </c>
      <c r="F48" s="21"/>
      <c r="G48" s="20">
        <v>529.02</v>
      </c>
      <c r="H48" s="20">
        <v>529.02</v>
      </c>
      <c r="L48" s="27"/>
      <c r="P48" s="28"/>
    </row>
    <row r="49" spans="1:16" x14ac:dyDescent="0.25">
      <c r="A49" s="18" t="s">
        <v>29</v>
      </c>
      <c r="B49" s="18" t="s">
        <v>16</v>
      </c>
      <c r="C49" s="19">
        <v>1</v>
      </c>
      <c r="D49" s="18" t="s">
        <v>25</v>
      </c>
      <c r="E49" s="18" t="s">
        <v>32</v>
      </c>
      <c r="F49" s="20">
        <v>529</v>
      </c>
      <c r="G49" s="21"/>
      <c r="H49" s="20">
        <v>6585.54</v>
      </c>
      <c r="L49" s="27"/>
      <c r="P49" s="28"/>
    </row>
    <row r="50" spans="1:16" x14ac:dyDescent="0.25">
      <c r="A50" s="18" t="s">
        <v>52</v>
      </c>
      <c r="B50" s="18" t="s">
        <v>11</v>
      </c>
      <c r="C50" s="19">
        <v>29</v>
      </c>
      <c r="D50" s="18" t="s">
        <v>25</v>
      </c>
      <c r="E50" s="18" t="s">
        <v>32</v>
      </c>
      <c r="F50" s="21"/>
      <c r="G50" s="20">
        <v>529.02</v>
      </c>
      <c r="H50" s="20">
        <v>6889.6</v>
      </c>
      <c r="L50" s="27"/>
      <c r="P50" s="28"/>
    </row>
    <row r="51" spans="1:16" x14ac:dyDescent="0.25">
      <c r="A51" s="18" t="s">
        <v>43</v>
      </c>
      <c r="B51" s="18" t="s">
        <v>11</v>
      </c>
      <c r="C51" s="19">
        <v>16</v>
      </c>
      <c r="D51" s="18" t="s">
        <v>44</v>
      </c>
      <c r="E51" s="18" t="s">
        <v>45</v>
      </c>
      <c r="F51" s="21"/>
      <c r="G51" s="20">
        <v>398.99</v>
      </c>
      <c r="H51" s="20">
        <v>3151.32</v>
      </c>
      <c r="L51" s="27"/>
      <c r="P51" s="28"/>
    </row>
    <row r="52" spans="1:16" x14ac:dyDescent="0.25">
      <c r="A52" s="18" t="s">
        <v>43</v>
      </c>
      <c r="B52" s="18" t="s">
        <v>11</v>
      </c>
      <c r="C52" s="19">
        <v>17</v>
      </c>
      <c r="D52" s="18" t="s">
        <v>44</v>
      </c>
      <c r="E52" s="18" t="s">
        <v>46</v>
      </c>
      <c r="F52" s="21"/>
      <c r="G52" s="20">
        <v>398.99</v>
      </c>
      <c r="H52" s="20">
        <v>3550.31</v>
      </c>
      <c r="L52" s="27"/>
      <c r="P52" s="28"/>
    </row>
    <row r="53" spans="1:16" x14ac:dyDescent="0.25">
      <c r="A53" s="18" t="s">
        <v>72</v>
      </c>
      <c r="B53" s="18" t="s">
        <v>16</v>
      </c>
      <c r="C53" s="19">
        <v>36</v>
      </c>
      <c r="D53" s="18" t="s">
        <v>13</v>
      </c>
      <c r="E53" s="18" t="s">
        <v>46</v>
      </c>
      <c r="F53" s="20">
        <v>398.99</v>
      </c>
      <c r="G53" s="21"/>
      <c r="H53" s="20">
        <v>62821.75</v>
      </c>
      <c r="L53" s="27"/>
      <c r="P53" s="28"/>
    </row>
    <row r="54" spans="1:16" x14ac:dyDescent="0.25">
      <c r="A54" s="18" t="s">
        <v>72</v>
      </c>
      <c r="B54" s="18" t="s">
        <v>16</v>
      </c>
      <c r="C54" s="19">
        <v>37</v>
      </c>
      <c r="D54" s="18" t="s">
        <v>13</v>
      </c>
      <c r="E54" s="18" t="s">
        <v>45</v>
      </c>
      <c r="F54" s="20">
        <v>398.99</v>
      </c>
      <c r="G54" s="21"/>
      <c r="H54" s="20">
        <v>62422.76</v>
      </c>
      <c r="L54" s="27"/>
      <c r="P54" s="28"/>
    </row>
    <row r="55" spans="1:16" x14ac:dyDescent="0.25">
      <c r="A55" s="18" t="s">
        <v>29</v>
      </c>
      <c r="B55" s="18" t="s">
        <v>16</v>
      </c>
      <c r="C55" s="19">
        <v>2</v>
      </c>
      <c r="D55" s="18" t="s">
        <v>33</v>
      </c>
      <c r="E55" s="18" t="s">
        <v>34</v>
      </c>
      <c r="F55" s="20">
        <v>4000</v>
      </c>
      <c r="G55" s="21"/>
      <c r="H55" s="20">
        <v>2585.54</v>
      </c>
      <c r="L55" s="27"/>
      <c r="P55" s="28"/>
    </row>
    <row r="56" spans="1:16" x14ac:dyDescent="0.25">
      <c r="A56" s="18" t="s">
        <v>56</v>
      </c>
      <c r="B56" s="18" t="s">
        <v>11</v>
      </c>
      <c r="C56" s="19">
        <v>33</v>
      </c>
      <c r="D56" s="18" t="s">
        <v>33</v>
      </c>
      <c r="E56" s="18" t="s">
        <v>34</v>
      </c>
      <c r="F56" s="21"/>
      <c r="G56" s="20">
        <v>4000</v>
      </c>
      <c r="H56" s="20">
        <v>11848.58</v>
      </c>
      <c r="L56" s="27"/>
      <c r="P56" s="28"/>
    </row>
    <row r="57" spans="1:16" x14ac:dyDescent="0.25">
      <c r="A57" s="21" t="s">
        <v>18</v>
      </c>
      <c r="B57" s="27"/>
      <c r="C57" s="27"/>
      <c r="D57" s="27"/>
      <c r="E57" s="27"/>
      <c r="F57" s="27"/>
      <c r="G57" s="27"/>
      <c r="H57" s="27"/>
      <c r="P57" s="28"/>
    </row>
    <row r="58" spans="1:16" x14ac:dyDescent="0.25">
      <c r="A58" s="1"/>
      <c r="B58" s="1"/>
      <c r="C58" s="1"/>
      <c r="D58" s="1"/>
      <c r="P58" s="28"/>
    </row>
    <row r="59" spans="1:16" x14ac:dyDescent="0.25">
      <c r="A59" s="11"/>
      <c r="B59" s="11"/>
      <c r="C59" s="11"/>
      <c r="D59" s="11"/>
      <c r="E59" s="16" t="s">
        <v>17</v>
      </c>
      <c r="F59" s="17">
        <v>47156.86</v>
      </c>
      <c r="G59" s="17">
        <v>101516.68</v>
      </c>
      <c r="H59" s="17">
        <v>54359.82</v>
      </c>
      <c r="P59" s="28"/>
    </row>
    <row r="60" spans="1:16" x14ac:dyDescent="0.25">
      <c r="A60" s="11" t="s">
        <v>18</v>
      </c>
      <c r="P60" s="28"/>
    </row>
    <row r="61" spans="1:16" x14ac:dyDescent="0.25">
      <c r="A61" s="11" t="s">
        <v>18</v>
      </c>
      <c r="P61" s="28"/>
    </row>
    <row r="62" spans="1:16" x14ac:dyDescent="0.25">
      <c r="A62" s="1"/>
      <c r="B62" s="1"/>
      <c r="C62" s="1"/>
      <c r="D62" s="1"/>
      <c r="P62" s="28"/>
    </row>
    <row r="63" spans="1:16" x14ac:dyDescent="0.25">
      <c r="A63" s="11"/>
      <c r="B63" s="11"/>
      <c r="C63" s="11"/>
      <c r="D63" s="11"/>
      <c r="E63" s="16" t="s">
        <v>76</v>
      </c>
      <c r="F63" s="17">
        <v>47156.86</v>
      </c>
      <c r="G63" s="17">
        <v>101516.68</v>
      </c>
      <c r="H63" s="17">
        <v>56634.82</v>
      </c>
      <c r="P63" s="28"/>
    </row>
    <row r="64" spans="1:16" x14ac:dyDescent="0.25">
      <c r="P64" s="28"/>
    </row>
    <row r="65" spans="6:16" x14ac:dyDescent="0.25">
      <c r="P65" s="28"/>
    </row>
    <row r="66" spans="6:16" x14ac:dyDescent="0.25">
      <c r="F66" s="3">
        <f>SUBTOTAL(9,F11:F56)</f>
        <v>44881.859999999993</v>
      </c>
      <c r="G66" s="3">
        <f>SUBTOTAL(9,G11:G56)</f>
        <v>101516.68000000001</v>
      </c>
      <c r="H66" s="3">
        <f>+G66-F66</f>
        <v>56634.820000000014</v>
      </c>
      <c r="P66" s="28"/>
    </row>
    <row r="67" spans="6:16" x14ac:dyDescent="0.25">
      <c r="P67" s="28"/>
    </row>
    <row r="68" spans="6:16" x14ac:dyDescent="0.25">
      <c r="H68" s="3">
        <f>+H63-H66</f>
        <v>0</v>
      </c>
      <c r="P68" s="28"/>
    </row>
    <row r="69" spans="6:16" x14ac:dyDescent="0.25">
      <c r="P69" s="28"/>
    </row>
    <row r="70" spans="6:16" x14ac:dyDescent="0.25">
      <c r="P70" s="28"/>
    </row>
    <row r="71" spans="6:16" x14ac:dyDescent="0.25">
      <c r="P71" s="28"/>
    </row>
    <row r="72" spans="6:16" x14ac:dyDescent="0.25">
      <c r="P72" s="28"/>
    </row>
  </sheetData>
  <autoFilter ref="A10:H57">
    <sortState ref="A11:H57">
      <sortCondition ref="D10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mparar_columnass">
                <anchor moveWithCells="1" sizeWithCells="1">
                  <from>
                    <xdr:col>12</xdr:col>
                    <xdr:colOff>9525</xdr:colOff>
                    <xdr:row>10</xdr:row>
                    <xdr:rowOff>180975</xdr:rowOff>
                  </from>
                  <to>
                    <xdr:col>14</xdr:col>
                    <xdr:colOff>523875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"/>
  <sheetViews>
    <sheetView workbookViewId="0">
      <selection activeCell="F35" sqref="F35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7"/>
  <sheetViews>
    <sheetView workbookViewId="0">
      <selection activeCell="G22" sqref="A1:G22"/>
    </sheetView>
  </sheetViews>
  <sheetFormatPr baseColWidth="10" defaultRowHeight="15" x14ac:dyDescent="0.25"/>
  <cols>
    <col min="1" max="1" width="33.85546875" customWidth="1"/>
    <col min="2" max="2" width="18.7109375" bestFit="1" customWidth="1"/>
    <col min="3" max="3" width="28.7109375" bestFit="1" customWidth="1"/>
    <col min="4" max="4" width="15.85546875" bestFit="1" customWidth="1"/>
  </cols>
  <sheetData>
    <row r="1" spans="1:4" ht="18.75" x14ac:dyDescent="0.3">
      <c r="A1" s="30"/>
      <c r="B1" s="30"/>
      <c r="C1" s="30"/>
      <c r="D1" s="30"/>
    </row>
    <row r="2" spans="1:4" x14ac:dyDescent="0.25">
      <c r="A2" s="31"/>
      <c r="B2" s="31"/>
      <c r="C2" s="31"/>
      <c r="D2" s="31"/>
    </row>
    <row r="4" spans="1:4" x14ac:dyDescent="0.25">
      <c r="A4" s="5"/>
      <c r="B4" s="5"/>
      <c r="C4" s="5"/>
      <c r="D4" s="5"/>
    </row>
    <row r="5" spans="1:4" x14ac:dyDescent="0.25">
      <c r="A5" s="4"/>
      <c r="B5" s="3"/>
      <c r="C5" s="6"/>
    </row>
    <row r="6" spans="1:4" x14ac:dyDescent="0.25">
      <c r="A6" s="4"/>
      <c r="B6" s="3"/>
      <c r="C6" s="25"/>
    </row>
    <row r="7" spans="1:4" x14ac:dyDescent="0.25">
      <c r="A7" s="23"/>
      <c r="B7" s="3"/>
      <c r="C7" s="25"/>
    </row>
    <row r="10" spans="1:4" x14ac:dyDescent="0.25">
      <c r="B10" s="3"/>
    </row>
    <row r="12" spans="1:4" x14ac:dyDescent="0.25">
      <c r="B12" s="2"/>
    </row>
    <row r="14" spans="1:4" x14ac:dyDescent="0.25">
      <c r="B14" s="3"/>
    </row>
    <row r="17" spans="1:2" x14ac:dyDescent="0.25">
      <c r="A17" s="7"/>
      <c r="B17" s="7"/>
    </row>
  </sheetData>
  <mergeCells count="2">
    <mergeCell ref="A1:D1"/>
    <mergeCell ref="A2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9"/>
  <sheetViews>
    <sheetView topLeftCell="A7" zoomScale="140" zoomScaleNormal="140" workbookViewId="0">
      <selection activeCell="J13" sqref="A1:J13"/>
    </sheetView>
  </sheetViews>
  <sheetFormatPr baseColWidth="10" defaultRowHeight="15" x14ac:dyDescent="0.25"/>
  <cols>
    <col min="4" max="4" width="41.42578125" bestFit="1" customWidth="1"/>
    <col min="5" max="5" width="14.42578125" bestFit="1" customWidth="1"/>
  </cols>
  <sheetData>
    <row r="1" spans="1:8" x14ac:dyDescent="0.25">
      <c r="A1" s="32"/>
      <c r="B1" s="32"/>
      <c r="C1" s="32"/>
      <c r="D1" s="32"/>
      <c r="E1" s="32"/>
      <c r="F1" s="32"/>
      <c r="G1" s="32"/>
      <c r="H1" s="32"/>
    </row>
    <row r="2" spans="1:8" x14ac:dyDescent="0.25">
      <c r="A2" s="32"/>
      <c r="B2" s="32"/>
      <c r="C2" s="32"/>
      <c r="D2" s="32"/>
      <c r="E2" s="32"/>
      <c r="F2" s="32"/>
      <c r="G2" s="32"/>
      <c r="H2" s="32"/>
    </row>
    <row r="6" spans="1:8" x14ac:dyDescent="0.25">
      <c r="A6" s="23"/>
      <c r="B6" s="23"/>
      <c r="C6" s="24"/>
      <c r="D6" s="23"/>
      <c r="E6" s="23"/>
      <c r="F6" s="11"/>
      <c r="G6" s="15"/>
      <c r="H6" s="15"/>
    </row>
    <row r="7" spans="1:8" x14ac:dyDescent="0.25">
      <c r="A7" s="18"/>
      <c r="B7" s="18"/>
      <c r="C7" s="19"/>
      <c r="D7" s="18"/>
      <c r="E7" s="18"/>
      <c r="F7" s="20"/>
      <c r="G7" s="21"/>
      <c r="H7" s="3"/>
    </row>
    <row r="8" spans="1:8" x14ac:dyDescent="0.25">
      <c r="A8" s="18"/>
      <c r="B8" s="18"/>
      <c r="C8" s="19"/>
      <c r="D8" s="18"/>
      <c r="E8" s="18"/>
      <c r="F8" s="21"/>
      <c r="G8" s="20"/>
      <c r="H8" s="3"/>
    </row>
    <row r="9" spans="1:8" x14ac:dyDescent="0.25">
      <c r="A9" s="18"/>
      <c r="B9" s="18"/>
      <c r="C9" s="19"/>
      <c r="D9" s="18"/>
      <c r="E9" s="18"/>
      <c r="F9" s="20"/>
      <c r="G9" s="21"/>
      <c r="H9" s="3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22"/>
  <sheetViews>
    <sheetView zoomScale="150" zoomScaleNormal="150" workbookViewId="0">
      <selection activeCell="D21" sqref="D21"/>
    </sheetView>
  </sheetViews>
  <sheetFormatPr baseColWidth="10" defaultRowHeight="15" x14ac:dyDescent="0.25"/>
  <cols>
    <col min="4" max="4" width="25.7109375" bestFit="1" customWidth="1"/>
  </cols>
  <sheetData>
    <row r="1" spans="1:8" x14ac:dyDescent="0.25">
      <c r="A1" s="32"/>
      <c r="B1" s="32"/>
      <c r="C1" s="32"/>
      <c r="D1" s="32"/>
      <c r="E1" s="32"/>
      <c r="F1" s="32"/>
      <c r="G1" s="32"/>
      <c r="H1" s="32"/>
    </row>
    <row r="2" spans="1:8" x14ac:dyDescent="0.25">
      <c r="A2" s="32"/>
      <c r="B2" s="32"/>
      <c r="C2" s="32"/>
      <c r="D2" s="32"/>
      <c r="E2" s="32"/>
      <c r="F2" s="32"/>
      <c r="G2" s="32"/>
      <c r="H2" s="32"/>
    </row>
    <row r="6" spans="1:8" x14ac:dyDescent="0.25">
      <c r="A6" s="23"/>
      <c r="B6" s="23"/>
      <c r="C6" s="24"/>
      <c r="D6" s="23"/>
      <c r="E6" s="23"/>
      <c r="F6" s="11"/>
      <c r="G6" s="15"/>
      <c r="H6" s="15"/>
    </row>
    <row r="7" spans="1:8" x14ac:dyDescent="0.25">
      <c r="A7" s="23"/>
      <c r="B7" s="23"/>
      <c r="C7" s="24"/>
      <c r="D7" s="23"/>
      <c r="E7" s="23"/>
      <c r="F7" s="11"/>
      <c r="G7" s="15"/>
      <c r="H7" s="15"/>
    </row>
    <row r="8" spans="1:8" x14ac:dyDescent="0.25">
      <c r="A8" s="23"/>
      <c r="B8" s="23"/>
      <c r="C8" s="24"/>
      <c r="D8" s="23"/>
      <c r="E8" s="23"/>
      <c r="F8" s="11"/>
      <c r="G8" s="15"/>
      <c r="H8" s="15"/>
    </row>
    <row r="9" spans="1:8" x14ac:dyDescent="0.25">
      <c r="H9" s="15"/>
    </row>
    <row r="10" spans="1:8" x14ac:dyDescent="0.25">
      <c r="H10" s="15"/>
    </row>
    <row r="11" spans="1:8" x14ac:dyDescent="0.25">
      <c r="H11" s="15"/>
    </row>
    <row r="12" spans="1:8" x14ac:dyDescent="0.25">
      <c r="H12" s="15"/>
    </row>
    <row r="13" spans="1:8" x14ac:dyDescent="0.25">
      <c r="H13" s="15"/>
    </row>
    <row r="14" spans="1:8" x14ac:dyDescent="0.25">
      <c r="H14" s="15"/>
    </row>
    <row r="15" spans="1:8" x14ac:dyDescent="0.25">
      <c r="H15" s="15"/>
    </row>
    <row r="16" spans="1:8" x14ac:dyDescent="0.25">
      <c r="H16" s="15"/>
    </row>
    <row r="17" spans="8:8" x14ac:dyDescent="0.25">
      <c r="H17" s="15"/>
    </row>
    <row r="18" spans="8:8" x14ac:dyDescent="0.25">
      <c r="H18" s="15"/>
    </row>
    <row r="19" spans="8:8" x14ac:dyDescent="0.25">
      <c r="H19" s="15"/>
    </row>
    <row r="20" spans="8:8" x14ac:dyDescent="0.25">
      <c r="H20" s="15"/>
    </row>
    <row r="21" spans="8:8" x14ac:dyDescent="0.25">
      <c r="H21" s="15"/>
    </row>
    <row r="22" spans="8:8" x14ac:dyDescent="0.25">
      <c r="H22" s="15"/>
    </row>
  </sheetData>
  <mergeCells count="2">
    <mergeCell ref="A1:H1"/>
    <mergeCell ref="A2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5"/>
  <sheetViews>
    <sheetView zoomScale="160" zoomScaleNormal="160" workbookViewId="0">
      <selection activeCell="D17" sqref="D17"/>
    </sheetView>
  </sheetViews>
  <sheetFormatPr baseColWidth="10" defaultRowHeight="15" x14ac:dyDescent="0.25"/>
  <cols>
    <col min="4" max="4" width="29.5703125" bestFit="1" customWidth="1"/>
  </cols>
  <sheetData>
    <row r="1" spans="1:8" x14ac:dyDescent="0.25">
      <c r="A1" s="32"/>
      <c r="B1" s="32"/>
      <c r="C1" s="32"/>
      <c r="D1" s="32"/>
      <c r="E1" s="32"/>
      <c r="F1" s="32"/>
      <c r="G1" s="32"/>
      <c r="H1" s="32"/>
    </row>
    <row r="2" spans="1:8" x14ac:dyDescent="0.25">
      <c r="A2" s="32"/>
      <c r="B2" s="32"/>
      <c r="C2" s="32"/>
      <c r="D2" s="32"/>
      <c r="E2" s="32"/>
      <c r="F2" s="32"/>
      <c r="G2" s="32"/>
      <c r="H2" s="32"/>
    </row>
    <row r="4" spans="1:8" x14ac:dyDescent="0.25">
      <c r="A4" s="22"/>
      <c r="B4" s="22"/>
      <c r="C4" s="22"/>
      <c r="D4" s="22"/>
      <c r="E4" s="22"/>
      <c r="F4" s="22"/>
      <c r="G4" s="22"/>
    </row>
    <row r="5" spans="1:8" x14ac:dyDescent="0.25">
      <c r="A5" s="23"/>
      <c r="B5" s="23"/>
      <c r="C5" s="24"/>
      <c r="D5" s="23"/>
      <c r="E5" s="23"/>
      <c r="F5" s="11"/>
      <c r="G5" s="15"/>
      <c r="H5" s="15"/>
    </row>
  </sheetData>
  <sortState ref="A5:H32">
    <sortCondition ref="E5:E32"/>
  </sortState>
  <mergeCells count="2">
    <mergeCell ref="A1:H1"/>
    <mergeCell ref="A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vamos a ver hasta donde llega e</vt:lpstr>
      <vt:lpstr>Hoja4</vt:lpstr>
      <vt:lpstr>RESUMEN</vt:lpstr>
      <vt:lpstr>AT&amp;T</vt:lpstr>
      <vt:lpstr> RADIOMOVIL DIPSA SA DE CV</vt:lpstr>
      <vt:lpstr> SERVICIO RETO EXPRESS SA DE 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AUXILIAR 1</dc:creator>
  <cp:lastModifiedBy>SOPORTE 2</cp:lastModifiedBy>
  <dcterms:created xsi:type="dcterms:W3CDTF">2018-11-01T17:31:51Z</dcterms:created>
  <dcterms:modified xsi:type="dcterms:W3CDTF">2019-03-13T22:44:33Z</dcterms:modified>
</cp:coreProperties>
</file>